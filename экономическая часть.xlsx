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1647592\Downloads\"/>
    </mc:Choice>
  </mc:AlternateContent>
  <bookViews>
    <workbookView xWindow="0" yWindow="0" windowWidth="23040" windowHeight="8496"/>
  </bookViews>
  <sheets>
    <sheet name="общие трудозатраты" sheetId="1" r:id="rId1"/>
    <sheet name="общая стоимость" sheetId="2" r:id="rId2"/>
  </sheets>
  <definedNames>
    <definedName name="_ftn1" localSheetId="0">'общие трудозатраты'!$S$12</definedName>
    <definedName name="_ftnref1" localSheetId="0">'общие трудозатраты'!$S$1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J11" i="2"/>
  <c r="N2" i="2"/>
  <c r="G3" i="1"/>
  <c r="G4" i="1"/>
  <c r="G5" i="1"/>
  <c r="G6" i="1"/>
  <c r="G2" i="1"/>
  <c r="N6" i="1" l="1"/>
  <c r="O6" i="1" s="1"/>
  <c r="L6" i="1"/>
  <c r="M6" i="1" s="1"/>
  <c r="J6" i="1"/>
  <c r="K6" i="1" s="1"/>
  <c r="H6" i="1"/>
  <c r="N5" i="1"/>
  <c r="O5" i="1" s="1"/>
  <c r="L5" i="1"/>
  <c r="M5" i="1" s="1"/>
  <c r="J5" i="1"/>
  <c r="K5" i="1" s="1"/>
  <c r="H5" i="1"/>
  <c r="I5" i="1" s="1"/>
  <c r="N4" i="1"/>
  <c r="O4" i="1" s="1"/>
  <c r="L4" i="1"/>
  <c r="M4" i="1" s="1"/>
  <c r="J4" i="1"/>
  <c r="K4" i="1" s="1"/>
  <c r="H4" i="1"/>
  <c r="N3" i="1"/>
  <c r="O3" i="1" s="1"/>
  <c r="L3" i="1"/>
  <c r="M3" i="1" s="1"/>
  <c r="J3" i="1"/>
  <c r="K3" i="1" s="1"/>
  <c r="H3" i="1"/>
  <c r="I3" i="1" s="1"/>
  <c r="N2" i="1"/>
  <c r="L2" i="1"/>
  <c r="J2" i="1"/>
  <c r="K2" i="1" s="1"/>
  <c r="H2" i="1"/>
  <c r="I2" i="1" s="1"/>
  <c r="M12" i="2"/>
  <c r="M11" i="2"/>
  <c r="M10" i="2"/>
  <c r="E3" i="2"/>
  <c r="G3" i="2" s="1"/>
  <c r="D60" i="1"/>
  <c r="K17" i="1" s="1"/>
  <c r="D48" i="1"/>
  <c r="D36" i="1"/>
  <c r="K15" i="1" s="1"/>
  <c r="D26" i="1"/>
  <c r="K16" i="1"/>
  <c r="K14" i="1"/>
  <c r="I6" i="1"/>
  <c r="I4" i="1"/>
  <c r="O2" i="1"/>
  <c r="M2" i="1"/>
  <c r="O7" i="1" l="1"/>
  <c r="O9" i="1" s="1"/>
  <c r="H17" i="1" s="1"/>
  <c r="L17" i="1" s="1"/>
  <c r="M7" i="1"/>
  <c r="M9" i="1" s="1"/>
  <c r="H16" i="1" s="1"/>
  <c r="L16" i="1" s="1"/>
  <c r="I7" i="1"/>
  <c r="I9" i="1" s="1"/>
  <c r="H14" i="1" s="1"/>
  <c r="L14" i="1" s="1"/>
  <c r="K7" i="1"/>
  <c r="K9" i="1" s="1"/>
  <c r="H15" i="1" s="1"/>
  <c r="L15" i="1" s="1"/>
  <c r="L18" i="1" l="1"/>
  <c r="J6" i="2" s="1"/>
  <c r="C7" i="2"/>
  <c r="E6" i="2" l="1"/>
  <c r="G6" i="2" s="1"/>
  <c r="E4" i="2"/>
  <c r="G4" i="2" s="1"/>
  <c r="E5" i="2"/>
  <c r="G5" i="2" s="1"/>
  <c r="G7" i="2" l="1"/>
  <c r="N11" i="2" l="1"/>
  <c r="N12" i="2"/>
  <c r="N10" i="2"/>
</calcChain>
</file>

<file path=xl/sharedStrings.xml><?xml version="1.0" encoding="utf-8"?>
<sst xmlns="http://schemas.openxmlformats.org/spreadsheetml/2006/main" count="147" uniqueCount="64">
  <si>
    <t>Коэффициент сложности</t>
  </si>
  <si>
    <t>ФТ 1</t>
  </si>
  <si>
    <t>Plotly Dash</t>
  </si>
  <si>
    <t>ФТ 2</t>
  </si>
  <si>
    <t>Playwright</t>
  </si>
  <si>
    <t>locust</t>
  </si>
  <si>
    <t>Тип функции обработки информации</t>
  </si>
  <si>
    <t>Количество функций обработки информации (шт.)</t>
  </si>
  <si>
    <t xml:space="preserve"> </t>
  </si>
  <si>
    <t>внутренние логические файлы</t>
  </si>
  <si>
    <t>внешние интерфейсные файлы</t>
  </si>
  <si>
    <t>внешние входные элементы</t>
  </si>
  <si>
    <t>внешние выходные элементы</t>
  </si>
  <si>
    <t>Кп</t>
  </si>
  <si>
    <t>внешние запросы</t>
  </si>
  <si>
    <t>kloc</t>
  </si>
  <si>
    <t>Подсистема</t>
  </si>
  <si>
    <t>Размер ИС</t>
  </si>
  <si>
    <t>А</t>
  </si>
  <si>
    <t>B</t>
  </si>
  <si>
    <t>ПМ</t>
  </si>
  <si>
    <t>Общая ТЕ (ч\мес)</t>
  </si>
  <si>
    <t>общее</t>
  </si>
  <si>
    <t>факторы</t>
  </si>
  <si>
    <t>уровень</t>
  </si>
  <si>
    <t>значение</t>
  </si>
  <si>
    <t>М1</t>
  </si>
  <si>
    <t>Средний</t>
  </si>
  <si>
    <t>М2</t>
  </si>
  <si>
    <t>М3</t>
  </si>
  <si>
    <t>Высокий</t>
  </si>
  <si>
    <t>М4</t>
  </si>
  <si>
    <t>М5</t>
  </si>
  <si>
    <t>М6</t>
  </si>
  <si>
    <t>Низкий</t>
  </si>
  <si>
    <t>Кч</t>
  </si>
  <si>
    <t>Чi</t>
  </si>
  <si>
    <t>КучMAX</t>
  </si>
  <si>
    <t>Куч</t>
  </si>
  <si>
    <t>Индекс</t>
  </si>
  <si>
    <t>Ккв(уч)</t>
  </si>
  <si>
    <t>Е/Тп</t>
  </si>
  <si>
    <t>Руководитель проекта</t>
  </si>
  <si>
    <t>Е</t>
  </si>
  <si>
    <t>Тп</t>
  </si>
  <si>
    <t>ЗП</t>
  </si>
  <si>
    <t>Кз</t>
  </si>
  <si>
    <t>траты</t>
  </si>
  <si>
    <t>рента</t>
  </si>
  <si>
    <t>1 этап</t>
  </si>
  <si>
    <t>Архитектор, методолог, технический писатель, ведущий аналитик, ведущий разработчик, ведущий инженер, научный сотрудник</t>
  </si>
  <si>
    <t>Вср</t>
  </si>
  <si>
    <t>2 этап</t>
  </si>
  <si>
    <t>С</t>
  </si>
  <si>
    <t>3 этап</t>
  </si>
  <si>
    <t>Аналитик, разработчик, эксперт-специалист</t>
  </si>
  <si>
    <t>Тестировщик, техник</t>
  </si>
  <si>
    <t>Всего</t>
  </si>
  <si>
    <t>python</t>
  </si>
  <si>
    <t>PP - размер разрабатываемой ИС (тыс.строк условного кода)</t>
  </si>
  <si>
    <t>ФТ - общее количество функциональных точек разрабатываемой ИС</t>
  </si>
  <si>
    <t>Кп - коэф-т преобразования количества функциональных точек в строки условного кода</t>
  </si>
  <si>
    <t>Фi - кол-во функций обработки информации ИС i-го типа</t>
  </si>
  <si>
    <t>Редикульцев Глеб Серегеевич ПИ4-1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</si>
</sst>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  <scheme val="minor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5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2" borderId="8" xfId="0" applyFill="1" applyBorder="1"/>
    <xf numFmtId="0" fontId="0" fillId="3" borderId="8" xfId="0" applyFill="1" applyBorder="1"/>
    <xf numFmtId="0" fontId="1" fillId="0" borderId="9" xfId="0" applyFont="1" applyBorder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1" xfId="0" applyNumberFormat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0" xfId="0" applyBorder="1"/>
    <xf numFmtId="0" fontId="3" fillId="0" borderId="8" xfId="0" applyFont="1" applyBorder="1" applyAlignment="1">
      <alignment vertical="center" wrapText="1"/>
    </xf>
    <xf numFmtId="2" fontId="0" fillId="3" borderId="1" xfId="0" applyNumberFormat="1" applyFill="1" applyBorder="1"/>
    <xf numFmtId="2" fontId="0" fillId="0" borderId="0" xfId="0" applyNumberFormat="1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0" fillId="2" borderId="0" xfId="0" applyFill="1"/>
    <xf numFmtId="0" fontId="3" fillId="0" borderId="6" xfId="0" applyFont="1" applyBorder="1" applyAlignment="1">
      <alignment horizontal="center" vertical="center" wrapText="1"/>
    </xf>
    <xf numFmtId="9" fontId="0" fillId="0" borderId="1" xfId="0" applyNumberFormat="1" applyBorder="1"/>
    <xf numFmtId="0" fontId="0" fillId="0" borderId="11" xfId="0" applyBorder="1"/>
    <xf numFmtId="4" fontId="0" fillId="2" borderId="1" xfId="0" applyNumberFormat="1" applyFill="1" applyBorder="1"/>
    <xf numFmtId="0" fontId="2" fillId="0" borderId="1" xfId="0" applyFont="1" applyBorder="1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14" xfId="0" applyBorder="1"/>
    <xf numFmtId="0" fontId="3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6</xdr:row>
      <xdr:rowOff>119062</xdr:rowOff>
    </xdr:from>
    <xdr:ext cx="1514474" cy="40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ФТ=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Ф</m:t>
                            </m:r>
                            <m:r>
                              <a:rPr lang="en-US" sz="1100" b="0" i="1">
                                <a:latin typeface="Cambria Math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/>
                                <a:ea typeface="Cambria Math"/>
                              </a:rPr>
                              <m:t>𝛼</m:t>
                            </m:r>
                          </m:e>
                        </m:nary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ФТ=</a:t>
              </a:r>
              <a:r>
                <a:rPr lang="ru-RU" sz="1100" b="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▒</a:t>
              </a:r>
              <a:r>
                <a:rPr lang="ru-RU" sz="1100" b="0" i="0">
                  <a:latin typeface="Cambria Math"/>
                </a:rPr>
                <a:t>Ф</a:t>
              </a:r>
              <a:r>
                <a:rPr lang="en-US" sz="1100" b="0" i="0">
                  <a:latin typeface="Cambria Math"/>
                </a:rPr>
                <a:t>𝑖</a:t>
              </a:r>
              <a:r>
                <a:rPr lang="en-US" sz="1100" b="0" i="0">
                  <a:latin typeface="Cambria Math"/>
                  <a:ea typeface="Cambria Math"/>
                </a:rPr>
                <a:t>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2756086</xdr:colOff>
      <xdr:row>7</xdr:row>
      <xdr:rowOff>339818</xdr:rowOff>
    </xdr:from>
    <xdr:ext cx="1070871" cy="320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049310" y="3656759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𝐾𝐿𝑂𝐶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ФТ∗Кп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1000</m:t>
                            </m:r>
                          </m:den>
                        </m:f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049310" y="3656759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𝐾𝐿𝑂𝐶=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ФТ∗Кп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/>
                </a:rPr>
                <a:t>1000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266699</xdr:colOff>
      <xdr:row>12</xdr:row>
      <xdr:rowOff>223837</xdr:rowOff>
    </xdr:from>
    <xdr:ext cx="1590675" cy="178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 bwMode="auto">
        <a:xfrm>
          <a:off x="11391898" y="5453062"/>
          <a:ext cx="1590675" cy="178832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2</xdr:col>
      <xdr:colOff>28574</xdr:colOff>
      <xdr:row>68</xdr:row>
      <xdr:rowOff>176212</xdr:rowOff>
    </xdr:from>
    <xdr:ext cx="1590675" cy="17222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 bwMode="auto">
        <a:xfrm>
          <a:off x="2790824" y="17073562"/>
          <a:ext cx="1590675" cy="17222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7</xdr:col>
      <xdr:colOff>100292</xdr:colOff>
      <xdr:row>17</xdr:row>
      <xdr:rowOff>14848</xdr:rowOff>
    </xdr:from>
    <xdr:ext cx="1590675" cy="1788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10418668" y="6863883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 xmlns:m="http://schemas.openxmlformats.org/officeDocument/2006/math">
                      <m:r>
                        <a:rPr lang="en-US" sz="1100" b="0" i="1">
                          <a:latin typeface="Cambria Math"/>
                        </a:rPr>
                        <m:t>𝐸</m:t>
                      </m:r>
                      <m:r>
                        <a:rPr lang="en-US" sz="1100" b="0" i="1">
                          <a:latin typeface="Cambria Math"/>
                        </a:rPr>
                        <m:t>=</m:t>
                      </m:r>
                      <m:r>
                        <a:rPr lang="en-US" sz="1100" b="0" i="1">
                          <a:latin typeface="Cambria Math"/>
                        </a:rPr>
                        <m:t>𝐴</m:t>
                      </m:r>
                      <m:r>
                        <a:rPr lang="en-US" sz="1100" b="0" i="1">
                          <a:latin typeface="Cambria Math"/>
                        </a:rPr>
                        <m:t>∗</m:t>
                      </m:r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/>
                            </a:rPr>
                            <m:t>𝐾𝐿𝑂𝐶</m:t>
                          </m:r>
                        </m:e>
                        <m:sup>
                          <m:r>
                            <a:rPr lang="en-US" sz="1100" b="0" i="1">
                              <a:latin typeface="Cambria Math"/>
                            </a:rPr>
                            <m:t>𝑏</m:t>
                          </m:r>
                        </m:sup>
                      </m:sSup>
                    </m:oMath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10418668" y="6863883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𝐸=𝐴∗</a:t>
              </a:r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/>
                </a:rPr>
                <a:t>𝐾𝐿𝑂𝐶</a:t>
              </a:r>
              <a:r>
                <a:rPr lang="en-US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/>
                </a:rPr>
                <a:t>𝑏</a:t>
              </a:r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2185035</xdr:colOff>
      <xdr:row>9</xdr:row>
      <xdr:rowOff>96201</xdr:rowOff>
    </xdr:from>
    <xdr:ext cx="1057275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 bwMode="auto">
            <a:xfrm>
              <a:off x="2185035" y="2039301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Чп=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/>
                              </a:rPr>
                              <m:t>𝐸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𝑇</m:t>
                            </m:r>
                          </m:den>
                        </m:f>
                        <m:r>
                          <a:rPr lang="en-US" sz="1100" b="0" i="0">
                            <a:latin typeface="Cambria Math"/>
                          </a:rPr>
                          <m:t> 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/>
                          </a:rPr>
                          <m:t>K</m:t>
                        </m:r>
                        <m:r>
                          <a:rPr lang="ru-RU" sz="1100" b="0" i="0">
                            <a:latin typeface="Cambria Math"/>
                          </a:rPr>
                          <m:t>ч</m:t>
                        </m:r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 bwMode="auto">
            <a:xfrm>
              <a:off x="2185035" y="2039301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Чп=</a:t>
              </a:r>
              <a:r>
                <a:rPr lang="en-US" sz="1100" b="0" i="0">
                  <a:latin typeface="Cambria Math"/>
                </a:rPr>
                <a:t>𝐸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/>
                </a:rPr>
                <a:t>𝑇  ∗K</a:t>
              </a:r>
              <a:r>
                <a:rPr lang="ru-RU" sz="1100" b="0" i="0">
                  <a:latin typeface="Cambria Math"/>
                </a:rPr>
                <a:t>ч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3689984</xdr:colOff>
      <xdr:row>9</xdr:row>
      <xdr:rowOff>120967</xdr:rowOff>
    </xdr:from>
    <xdr:ext cx="2124074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 bwMode="auto">
            <a:xfrm>
              <a:off x="3689984" y="2064067"/>
              <a:ext cx="2124074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Куч=КучМАХ=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Е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Т</m:t>
                            </m:r>
                          </m:den>
                        </m:f>
                        <m:r>
                          <a:rPr lang="ru-RU" sz="1100" b="0" i="0">
                            <a:latin typeface="Cambria Math"/>
                          </a:rPr>
                          <m:t> ∗ 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Кч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 bwMode="auto">
            <a:xfrm>
              <a:off x="3689984" y="2064067"/>
              <a:ext cx="2124074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Куч=КучМАХ=Е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Т  ∗  Кч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123823</xdr:colOff>
      <xdr:row>9</xdr:row>
      <xdr:rowOff>100012</xdr:rowOff>
    </xdr:from>
    <xdr:ext cx="1666875" cy="3261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 bwMode="auto">
            <a:xfrm>
              <a:off x="6494143" y="204311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Ккв</m:t>
                        </m:r>
                        <m:d>
                          <m:d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уч</m:t>
                            </m:r>
                          </m:e>
                        </m:d>
                        <m:r>
                          <a:rPr lang="ru-RU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ru-RU" sz="1100" b="0" i="1">
                                    <a:latin typeface="Cambria Math"/>
                                  </a:rPr>
                                  <m:t>(Ч∗Куч∗И)</m:t>
                                </m:r>
                              </m:e>
                            </m:nary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 bwMode="auto">
            <a:xfrm>
              <a:off x="6494143" y="204311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Ккв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уч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</a:rPr>
                <a:t>(∑▒〖</a:t>
              </a:r>
              <a:r>
                <a:rPr lang="ru-RU" sz="1100" b="0" i="0">
                  <a:latin typeface="Cambria Math"/>
                </a:rPr>
                <a:t>(Ч∗Куч∗И)</a:t>
              </a:r>
              <a:r>
                <a:rPr lang="ru-RU" sz="1100" b="0" i="0">
                  <a:latin typeface="Cambria Math" panose="02040503050406030204" pitchFamily="18" charset="0"/>
                </a:rPr>
                <a:t>〗)/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112395</xdr:colOff>
      <xdr:row>13</xdr:row>
      <xdr:rowOff>25717</xdr:rowOff>
    </xdr:from>
    <xdr:ext cx="1057662" cy="3213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 bwMode="auto">
            <a:xfrm>
              <a:off x="10140315" y="2883217"/>
              <a:ext cx="1057662" cy="321306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Вср=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ЗП(1+Р)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Кз</m:t>
                            </m:r>
                          </m:den>
                        </m:f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 bwMode="auto">
            <a:xfrm>
              <a:off x="10140315" y="2883217"/>
              <a:ext cx="1057662" cy="321306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Вср=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ЗП(1+Р)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ru-RU" sz="1100" b="0" i="0">
                  <a:latin typeface="Cambria Math"/>
                </a:rPr>
                <a:t>Кз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480060</xdr:colOff>
      <xdr:row>14</xdr:row>
      <xdr:rowOff>23812</xdr:rowOff>
    </xdr:from>
    <xdr:ext cx="1943100" cy="1722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 bwMode="auto">
            <a:xfrm>
              <a:off x="12504420" y="2881312"/>
              <a:ext cx="1943100" cy="172226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С=Вср∗Тп∗Чп∗Ккв(уч)</m:t>
                        </m:r>
                      </m:oMath>
                    </m:oMathPara>
                  </a14:m>
                </mc:Choice>
                <mc:Fallback xmlns="" xmlns:r="http://schemas.openxmlformats.org/officeDocument/2006/relationships" xmlns:w="http://schemas.openxmlformats.org/wordprocessingml/2006/main" xmlns:m="http://schemas.openxmlformats.org/officeDocument/2006/math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 bwMode="auto">
            <a:xfrm>
              <a:off x="12504420" y="2881312"/>
              <a:ext cx="1943100" cy="172226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С=Вср∗Тп∗Чп∗Ккв(уч)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"/>
  <sheetViews>
    <sheetView tabSelected="1" zoomScale="85" zoomScaleNormal="85" workbookViewId="0">
      <selection activeCell="I23" sqref="I23"/>
    </sheetView>
  </sheetViews>
  <sheetFormatPr defaultRowHeight="14.4" x14ac:dyDescent="0.3"/>
  <cols>
    <col min="1" max="3" width="20.77734375" customWidth="1"/>
    <col min="4" max="4" width="16" customWidth="1"/>
    <col min="5" max="5" width="13.44140625" bestFit="1" customWidth="1"/>
    <col min="6" max="6" width="43.109375" customWidth="1"/>
    <col min="7" max="7" width="15.5546875" customWidth="1"/>
    <col min="8" max="8" width="12.109375" customWidth="1"/>
    <col min="11" max="11" width="12" customWidth="1"/>
    <col min="12" max="12" width="12.88671875" customWidth="1"/>
  </cols>
  <sheetData>
    <row r="1" spans="1:28" ht="31.2" x14ac:dyDescent="0.3">
      <c r="A1" s="43" t="s">
        <v>63</v>
      </c>
      <c r="B1" s="43"/>
      <c r="C1" s="43"/>
      <c r="D1" s="43"/>
      <c r="E1" s="43"/>
      <c r="G1" s="1" t="s">
        <v>0</v>
      </c>
      <c r="H1" s="2" t="s">
        <v>58</v>
      </c>
      <c r="I1" s="3" t="s">
        <v>1</v>
      </c>
      <c r="J1" s="2" t="s">
        <v>2</v>
      </c>
      <c r="K1" s="3" t="s">
        <v>3</v>
      </c>
      <c r="L1" s="2" t="s">
        <v>4</v>
      </c>
      <c r="M1" s="3" t="s">
        <v>1</v>
      </c>
      <c r="N1" s="2" t="s">
        <v>5</v>
      </c>
      <c r="O1" s="3" t="s">
        <v>3</v>
      </c>
      <c r="Q1" s="4"/>
      <c r="R1" s="5"/>
      <c r="S1" s="6"/>
      <c r="T1" s="5"/>
      <c r="U1" s="6"/>
      <c r="V1" s="5"/>
      <c r="W1" s="6"/>
      <c r="X1" s="5"/>
      <c r="Y1" s="6"/>
    </row>
    <row r="2" spans="1:28" ht="15.6" x14ac:dyDescent="0.3">
      <c r="A2" s="44"/>
      <c r="B2" s="44"/>
      <c r="C2" s="44"/>
      <c r="D2" s="44"/>
      <c r="E2" s="44"/>
      <c r="G2" s="7">
        <f>B12</f>
        <v>10</v>
      </c>
      <c r="H2" s="8">
        <f>B5</f>
        <v>4</v>
      </c>
      <c r="I2" s="9">
        <f t="shared" ref="I2:I6" si="0">G2*H2</f>
        <v>40</v>
      </c>
      <c r="J2" s="8">
        <f>C5</f>
        <v>4</v>
      </c>
      <c r="K2" s="9">
        <f t="shared" ref="K2:K6" si="1">G2*J2</f>
        <v>40</v>
      </c>
      <c r="L2" s="7">
        <f>D5</f>
        <v>3</v>
      </c>
      <c r="M2" s="9">
        <f t="shared" ref="M2:M6" si="2">G2*L2</f>
        <v>30</v>
      </c>
      <c r="N2" s="7">
        <f>E5</f>
        <v>3</v>
      </c>
      <c r="O2" s="9">
        <f t="shared" ref="O2:O6" si="3">$G2*N2</f>
        <v>30</v>
      </c>
      <c r="Q2" s="10"/>
      <c r="R2" s="11"/>
      <c r="T2" s="11"/>
      <c r="V2" s="10"/>
      <c r="X2" s="10"/>
    </row>
    <row r="3" spans="1:28" ht="78.75" customHeight="1" thickBot="1" x14ac:dyDescent="0.35">
      <c r="A3" s="46" t="s">
        <v>6</v>
      </c>
      <c r="B3" s="47" t="s">
        <v>7</v>
      </c>
      <c r="C3" s="48"/>
      <c r="D3" s="48"/>
      <c r="E3" s="49"/>
      <c r="G3" s="42">
        <f t="shared" ref="G3:G6" si="4">B13</f>
        <v>7</v>
      </c>
      <c r="H3" s="8">
        <f>B6</f>
        <v>3</v>
      </c>
      <c r="I3" s="9">
        <f t="shared" si="0"/>
        <v>21</v>
      </c>
      <c r="J3" s="8">
        <f>C6</f>
        <v>4</v>
      </c>
      <c r="K3" s="9">
        <f t="shared" si="1"/>
        <v>28</v>
      </c>
      <c r="L3" s="7">
        <f>D6</f>
        <v>3</v>
      </c>
      <c r="M3" s="9">
        <f t="shared" si="2"/>
        <v>21</v>
      </c>
      <c r="N3" s="7">
        <f>E6</f>
        <v>2</v>
      </c>
      <c r="O3" s="9">
        <f t="shared" si="3"/>
        <v>14</v>
      </c>
      <c r="Q3" s="10"/>
      <c r="R3" s="11"/>
      <c r="T3" s="11"/>
      <c r="V3" s="10"/>
      <c r="X3" s="10"/>
    </row>
    <row r="4" spans="1:28" ht="16.2" thickBot="1" x14ac:dyDescent="0.35">
      <c r="A4" s="47"/>
      <c r="B4" s="12" t="s">
        <v>58</v>
      </c>
      <c r="C4" s="13" t="s">
        <v>2</v>
      </c>
      <c r="D4" s="13" t="s">
        <v>4</v>
      </c>
      <c r="E4" s="14" t="s">
        <v>5</v>
      </c>
      <c r="G4" s="42">
        <f t="shared" si="4"/>
        <v>5</v>
      </c>
      <c r="H4" s="8">
        <f>B7</f>
        <v>3</v>
      </c>
      <c r="I4" s="9">
        <f t="shared" si="0"/>
        <v>15</v>
      </c>
      <c r="J4" s="8">
        <f>C7</f>
        <v>3</v>
      </c>
      <c r="K4" s="9">
        <f t="shared" si="1"/>
        <v>15</v>
      </c>
      <c r="L4" s="7">
        <f>D7</f>
        <v>2</v>
      </c>
      <c r="M4" s="9">
        <f t="shared" si="2"/>
        <v>10</v>
      </c>
      <c r="N4" s="7">
        <f>E7</f>
        <v>2</v>
      </c>
      <c r="O4" s="9">
        <f t="shared" si="3"/>
        <v>10</v>
      </c>
      <c r="Q4" s="10"/>
      <c r="R4" s="11"/>
      <c r="T4" s="11"/>
      <c r="V4" s="10"/>
      <c r="X4" s="10"/>
      <c r="AB4" t="s">
        <v>8</v>
      </c>
    </row>
    <row r="5" spans="1:28" ht="31.2" x14ac:dyDescent="0.3">
      <c r="A5" s="15" t="s">
        <v>9</v>
      </c>
      <c r="B5" s="16">
        <v>4</v>
      </c>
      <c r="C5" s="16">
        <v>4</v>
      </c>
      <c r="D5" s="17">
        <v>3</v>
      </c>
      <c r="E5" s="17">
        <v>3</v>
      </c>
      <c r="G5" s="42">
        <f t="shared" si="4"/>
        <v>5</v>
      </c>
      <c r="H5" s="8">
        <f>B8</f>
        <v>5</v>
      </c>
      <c r="I5" s="9">
        <f t="shared" si="0"/>
        <v>25</v>
      </c>
      <c r="J5" s="8">
        <f>C8</f>
        <v>3</v>
      </c>
      <c r="K5" s="9">
        <f t="shared" si="1"/>
        <v>15</v>
      </c>
      <c r="L5" s="7">
        <f>D8</f>
        <v>1</v>
      </c>
      <c r="M5" s="9">
        <f t="shared" si="2"/>
        <v>5</v>
      </c>
      <c r="N5" s="7">
        <f>E8</f>
        <v>3</v>
      </c>
      <c r="O5" s="9">
        <f t="shared" si="3"/>
        <v>15</v>
      </c>
      <c r="Q5" s="10"/>
      <c r="R5" s="11"/>
      <c r="T5" s="11"/>
      <c r="V5" s="10"/>
      <c r="X5" s="10"/>
    </row>
    <row r="6" spans="1:28" ht="46.8" x14ac:dyDescent="0.3">
      <c r="A6" s="15" t="s">
        <v>10</v>
      </c>
      <c r="B6" s="16">
        <v>3</v>
      </c>
      <c r="C6" s="16">
        <v>4</v>
      </c>
      <c r="D6" s="17">
        <v>3</v>
      </c>
      <c r="E6" s="17">
        <v>2</v>
      </c>
      <c r="G6" s="42">
        <f t="shared" si="4"/>
        <v>3</v>
      </c>
      <c r="H6" s="8">
        <f>B9</f>
        <v>3</v>
      </c>
      <c r="I6" s="9">
        <f t="shared" si="0"/>
        <v>9</v>
      </c>
      <c r="J6" s="8">
        <f>C9</f>
        <v>1</v>
      </c>
      <c r="K6" s="9">
        <f t="shared" si="1"/>
        <v>3</v>
      </c>
      <c r="L6" s="7">
        <f>D9</f>
        <v>1</v>
      </c>
      <c r="M6" s="9">
        <f t="shared" si="2"/>
        <v>3</v>
      </c>
      <c r="N6" s="7">
        <f>E9</f>
        <v>2</v>
      </c>
      <c r="O6" s="9">
        <f t="shared" si="3"/>
        <v>6</v>
      </c>
      <c r="Q6" s="10"/>
      <c r="R6" s="11"/>
      <c r="T6" s="11"/>
      <c r="V6" s="10"/>
      <c r="X6" s="10"/>
    </row>
    <row r="7" spans="1:28" ht="42.75" customHeight="1" x14ac:dyDescent="0.3">
      <c r="A7" s="15" t="s">
        <v>11</v>
      </c>
      <c r="B7" s="16">
        <v>3</v>
      </c>
      <c r="C7" s="16">
        <v>3</v>
      </c>
      <c r="D7" s="17">
        <v>2</v>
      </c>
      <c r="E7" s="17">
        <v>2</v>
      </c>
      <c r="I7" s="18">
        <f>SUM(I2:I6)</f>
        <v>110</v>
      </c>
      <c r="K7" s="19">
        <f>SUM(K2:K6)</f>
        <v>101</v>
      </c>
      <c r="M7" s="20">
        <f>SUM(M2:M6)</f>
        <v>69</v>
      </c>
      <c r="O7" s="21">
        <f>SUM(O2:O6)</f>
        <v>75</v>
      </c>
    </row>
    <row r="8" spans="1:28" ht="31.2" x14ac:dyDescent="0.3">
      <c r="A8" s="15" t="s">
        <v>12</v>
      </c>
      <c r="B8" s="16">
        <v>5</v>
      </c>
      <c r="C8" s="16">
        <v>3</v>
      </c>
      <c r="D8" s="17">
        <v>1</v>
      </c>
      <c r="E8" s="17">
        <v>3</v>
      </c>
      <c r="H8" s="9" t="s">
        <v>13</v>
      </c>
      <c r="I8" s="7">
        <v>50</v>
      </c>
      <c r="J8" s="9" t="s">
        <v>13</v>
      </c>
      <c r="K8" s="7">
        <v>50</v>
      </c>
      <c r="L8" s="9" t="s">
        <v>13</v>
      </c>
      <c r="M8" s="7">
        <v>50</v>
      </c>
      <c r="N8" s="9" t="s">
        <v>13</v>
      </c>
      <c r="O8" s="7">
        <v>50</v>
      </c>
    </row>
    <row r="9" spans="1:28" ht="15.6" x14ac:dyDescent="0.3">
      <c r="A9" s="15" t="s">
        <v>14</v>
      </c>
      <c r="B9" s="16">
        <v>3</v>
      </c>
      <c r="C9" s="16">
        <v>1</v>
      </c>
      <c r="D9" s="17">
        <v>1</v>
      </c>
      <c r="E9" s="17">
        <v>2</v>
      </c>
      <c r="H9" s="9" t="s">
        <v>15</v>
      </c>
      <c r="I9" s="18">
        <f>(I7*I8)/1000</f>
        <v>5.5</v>
      </c>
      <c r="J9" s="9" t="s">
        <v>15</v>
      </c>
      <c r="K9" s="18">
        <f>(K7*K8)/1000</f>
        <v>5.05</v>
      </c>
      <c r="L9" s="9" t="s">
        <v>15</v>
      </c>
      <c r="M9" s="18">
        <f>(M7*M8)/1000</f>
        <v>3.45</v>
      </c>
      <c r="N9" s="9" t="s">
        <v>15</v>
      </c>
      <c r="O9" s="18">
        <f>(O7*O8)/1000</f>
        <v>3.75</v>
      </c>
    </row>
    <row r="11" spans="1:28" ht="46.8" x14ac:dyDescent="0.3">
      <c r="A11" s="22" t="s">
        <v>6</v>
      </c>
      <c r="B11" s="22" t="s">
        <v>0</v>
      </c>
      <c r="C11" s="4"/>
      <c r="D11" s="4"/>
      <c r="K11" s="23"/>
      <c r="L11" s="41"/>
      <c r="M11" s="41"/>
    </row>
    <row r="12" spans="1:28" ht="31.2" x14ac:dyDescent="0.3">
      <c r="A12" s="15" t="s">
        <v>9</v>
      </c>
      <c r="B12" s="15">
        <v>10</v>
      </c>
      <c r="C12" s="11"/>
      <c r="D12" s="10"/>
      <c r="K12" s="24"/>
    </row>
    <row r="13" spans="1:28" ht="46.8" x14ac:dyDescent="0.3">
      <c r="A13" s="15" t="s">
        <v>10</v>
      </c>
      <c r="B13" s="15">
        <v>7</v>
      </c>
      <c r="C13" s="11"/>
      <c r="D13" s="10"/>
      <c r="G13" s="9" t="s">
        <v>16</v>
      </c>
      <c r="H13" s="9" t="s">
        <v>17</v>
      </c>
      <c r="I13" s="9" t="s">
        <v>18</v>
      </c>
      <c r="J13" s="9" t="s">
        <v>19</v>
      </c>
      <c r="K13" s="25" t="s">
        <v>20</v>
      </c>
      <c r="L13" s="25" t="s">
        <v>21</v>
      </c>
    </row>
    <row r="14" spans="1:28" ht="31.2" x14ac:dyDescent="0.3">
      <c r="A14" s="15" t="s">
        <v>11</v>
      </c>
      <c r="B14" s="15">
        <v>5</v>
      </c>
      <c r="C14" s="11"/>
      <c r="D14" s="10"/>
      <c r="G14" s="9" t="s">
        <v>58</v>
      </c>
      <c r="H14" s="9">
        <f>I9</f>
        <v>5.5</v>
      </c>
      <c r="I14" s="9">
        <v>2.5</v>
      </c>
      <c r="J14" s="9">
        <v>0.94</v>
      </c>
      <c r="K14" s="25">
        <f>D26</f>
        <v>1.1443650000000001</v>
      </c>
      <c r="L14" s="9">
        <f t="shared" ref="L14:L17" si="5">I14*H14^J14*K14</f>
        <v>14.205139512056437</v>
      </c>
    </row>
    <row r="15" spans="1:28" ht="31.2" x14ac:dyDescent="0.3">
      <c r="A15" s="15" t="s">
        <v>12</v>
      </c>
      <c r="B15" s="15">
        <v>5</v>
      </c>
      <c r="C15" s="11"/>
      <c r="D15" s="10"/>
      <c r="G15" s="9" t="s">
        <v>2</v>
      </c>
      <c r="H15" s="9">
        <f>K9</f>
        <v>5.05</v>
      </c>
      <c r="I15" s="9">
        <v>2.5</v>
      </c>
      <c r="J15" s="9">
        <v>0.94</v>
      </c>
      <c r="K15" s="26">
        <f>D36</f>
        <v>1.1443650000000001</v>
      </c>
      <c r="L15" s="9">
        <f t="shared" si="5"/>
        <v>13.109872581942822</v>
      </c>
    </row>
    <row r="16" spans="1:28" ht="15.6" x14ac:dyDescent="0.3">
      <c r="A16" s="15" t="s">
        <v>14</v>
      </c>
      <c r="B16" s="15">
        <v>3</v>
      </c>
      <c r="C16" s="11"/>
      <c r="D16" s="10"/>
      <c r="G16" s="9" t="s">
        <v>4</v>
      </c>
      <c r="H16" s="9">
        <f>M9</f>
        <v>3.45</v>
      </c>
      <c r="I16" s="9">
        <v>2.5</v>
      </c>
      <c r="J16" s="9">
        <v>0.94</v>
      </c>
      <c r="K16" s="27">
        <f>D48</f>
        <v>0.73587645000000002</v>
      </c>
      <c r="L16" s="9">
        <f t="shared" si="5"/>
        <v>5.8924358430118238</v>
      </c>
    </row>
    <row r="17" spans="1:12" ht="15.6" x14ac:dyDescent="0.3">
      <c r="A17" s="11"/>
      <c r="B17" s="11"/>
      <c r="C17" s="11"/>
      <c r="D17" s="10"/>
      <c r="G17" s="9" t="s">
        <v>5</v>
      </c>
      <c r="H17" s="9">
        <f>O9</f>
        <v>3.75</v>
      </c>
      <c r="I17" s="9">
        <v>2.5</v>
      </c>
      <c r="J17" s="9">
        <v>0.94</v>
      </c>
      <c r="K17" s="27">
        <f>D60</f>
        <v>0.90907499999999986</v>
      </c>
      <c r="L17" s="9">
        <f t="shared" si="5"/>
        <v>7.8727981175936277</v>
      </c>
    </row>
    <row r="18" spans="1:12" ht="15.75" customHeight="1" x14ac:dyDescent="0.3">
      <c r="A18" s="45" t="s">
        <v>58</v>
      </c>
      <c r="B18" s="45"/>
      <c r="C18" s="45"/>
      <c r="D18" s="11"/>
      <c r="E18" s="11"/>
      <c r="G18" s="51" t="s">
        <v>22</v>
      </c>
      <c r="K18" s="24"/>
      <c r="L18" s="52">
        <f>SUM(L14:L17)</f>
        <v>41.080246054604707</v>
      </c>
    </row>
    <row r="19" spans="1:12" ht="15.6" x14ac:dyDescent="0.3">
      <c r="A19" s="8" t="s">
        <v>23</v>
      </c>
      <c r="B19" s="8" t="s">
        <v>24</v>
      </c>
      <c r="C19" s="8" t="s">
        <v>25</v>
      </c>
    </row>
    <row r="20" spans="1:12" x14ac:dyDescent="0.3">
      <c r="A20" s="28" t="s">
        <v>26</v>
      </c>
      <c r="B20" s="28" t="s">
        <v>27</v>
      </c>
      <c r="C20" s="29">
        <v>1</v>
      </c>
    </row>
    <row r="21" spans="1:12" x14ac:dyDescent="0.3">
      <c r="A21" s="28" t="s">
        <v>28</v>
      </c>
      <c r="B21" s="28" t="s">
        <v>27</v>
      </c>
      <c r="C21" s="29">
        <v>1</v>
      </c>
    </row>
    <row r="22" spans="1:12" x14ac:dyDescent="0.3">
      <c r="A22" s="28" t="s">
        <v>29</v>
      </c>
      <c r="B22" s="28" t="s">
        <v>30</v>
      </c>
      <c r="C22" s="29">
        <v>1.07</v>
      </c>
    </row>
    <row r="23" spans="1:12" x14ac:dyDescent="0.3">
      <c r="A23" s="28" t="s">
        <v>31</v>
      </c>
      <c r="B23" s="28" t="s">
        <v>30</v>
      </c>
      <c r="C23" s="29">
        <v>1.1499999999999999</v>
      </c>
    </row>
    <row r="24" spans="1:12" ht="14.25" customHeight="1" x14ac:dyDescent="0.3">
      <c r="A24" s="28" t="s">
        <v>32</v>
      </c>
      <c r="B24" s="28" t="s">
        <v>27</v>
      </c>
      <c r="C24" s="29">
        <v>1</v>
      </c>
      <c r="G24" s="50" t="s">
        <v>59</v>
      </c>
      <c r="H24" s="50"/>
      <c r="I24" s="50"/>
      <c r="J24" s="50"/>
    </row>
    <row r="25" spans="1:12" x14ac:dyDescent="0.3">
      <c r="A25" s="28" t="s">
        <v>33</v>
      </c>
      <c r="B25" s="28" t="s">
        <v>34</v>
      </c>
      <c r="C25" s="29">
        <v>0.93</v>
      </c>
      <c r="D25" s="30" t="s">
        <v>20</v>
      </c>
      <c r="G25" s="50"/>
      <c r="H25" s="50"/>
      <c r="I25" s="50"/>
      <c r="J25" s="50"/>
    </row>
    <row r="26" spans="1:12" ht="15.45" customHeight="1" x14ac:dyDescent="0.3">
      <c r="A26" s="11"/>
      <c r="B26" s="11"/>
      <c r="C26" s="11"/>
      <c r="D26" s="19">
        <f>PRODUCT(C20:C25)</f>
        <v>1.1443650000000001</v>
      </c>
      <c r="G26" s="50" t="s">
        <v>60</v>
      </c>
      <c r="H26" s="50"/>
      <c r="I26" s="50"/>
      <c r="J26" s="50"/>
    </row>
    <row r="27" spans="1:12" x14ac:dyDescent="0.3">
      <c r="G27" s="50"/>
      <c r="H27" s="50"/>
      <c r="I27" s="50"/>
      <c r="J27" s="50"/>
    </row>
    <row r="28" spans="1:12" ht="15.45" customHeight="1" x14ac:dyDescent="0.3">
      <c r="A28" s="45" t="s">
        <v>2</v>
      </c>
      <c r="B28" s="45"/>
      <c r="C28" s="45"/>
      <c r="D28" s="11"/>
      <c r="E28" s="11"/>
      <c r="G28" s="50" t="s">
        <v>61</v>
      </c>
      <c r="H28" s="50"/>
      <c r="I28" s="50"/>
      <c r="J28" s="50"/>
    </row>
    <row r="29" spans="1:12" ht="15.6" x14ac:dyDescent="0.3">
      <c r="A29" s="8" t="s">
        <v>23</v>
      </c>
      <c r="B29" s="8" t="s">
        <v>24</v>
      </c>
      <c r="C29" s="8" t="s">
        <v>25</v>
      </c>
      <c r="G29" s="50"/>
      <c r="H29" s="50"/>
      <c r="I29" s="50"/>
      <c r="J29" s="50"/>
    </row>
    <row r="30" spans="1:12" x14ac:dyDescent="0.3">
      <c r="A30" s="28" t="s">
        <v>26</v>
      </c>
      <c r="B30" s="28" t="s">
        <v>34</v>
      </c>
      <c r="C30" s="29">
        <v>0.93</v>
      </c>
      <c r="G30" s="50" t="s">
        <v>62</v>
      </c>
      <c r="H30" s="50"/>
      <c r="I30" s="50"/>
      <c r="J30" s="50"/>
    </row>
    <row r="31" spans="1:12" x14ac:dyDescent="0.3">
      <c r="A31" s="28" t="s">
        <v>28</v>
      </c>
      <c r="B31" s="28" t="s">
        <v>27</v>
      </c>
      <c r="C31" s="29">
        <v>1</v>
      </c>
      <c r="G31" s="50"/>
      <c r="H31" s="50"/>
      <c r="I31" s="50"/>
      <c r="J31" s="50"/>
    </row>
    <row r="32" spans="1:12" x14ac:dyDescent="0.3">
      <c r="A32" s="28" t="s">
        <v>29</v>
      </c>
      <c r="B32" s="28" t="s">
        <v>30</v>
      </c>
      <c r="C32" s="29">
        <v>1.07</v>
      </c>
    </row>
    <row r="33" spans="1:10" x14ac:dyDescent="0.3">
      <c r="A33" s="28" t="s">
        <v>31</v>
      </c>
      <c r="B33" s="28" t="s">
        <v>27</v>
      </c>
      <c r="C33" s="29">
        <v>1</v>
      </c>
    </row>
    <row r="34" spans="1:10" x14ac:dyDescent="0.3">
      <c r="A34" s="28" t="s">
        <v>32</v>
      </c>
      <c r="B34" s="28" t="s">
        <v>30</v>
      </c>
      <c r="C34" s="29">
        <v>1.1499999999999999</v>
      </c>
    </row>
    <row r="35" spans="1:10" x14ac:dyDescent="0.3">
      <c r="A35" s="28" t="s">
        <v>33</v>
      </c>
      <c r="B35" s="28" t="s">
        <v>27</v>
      </c>
      <c r="C35" s="29">
        <v>1</v>
      </c>
      <c r="D35" s="30" t="s">
        <v>20</v>
      </c>
    </row>
    <row r="36" spans="1:10" ht="15.6" x14ac:dyDescent="0.3">
      <c r="A36" s="31" t="s">
        <v>8</v>
      </c>
      <c r="B36" s="11"/>
      <c r="C36" s="11"/>
      <c r="D36" s="32">
        <f>PRODUCT(C30:C35)</f>
        <v>1.1443650000000001</v>
      </c>
    </row>
    <row r="40" spans="1:10" ht="15.6" x14ac:dyDescent="0.3">
      <c r="A40" s="45" t="s">
        <v>4</v>
      </c>
      <c r="B40" s="45"/>
      <c r="C40" s="45"/>
      <c r="D40" s="11"/>
    </row>
    <row r="41" spans="1:10" ht="15.6" x14ac:dyDescent="0.3">
      <c r="A41" s="8" t="s">
        <v>23</v>
      </c>
      <c r="B41" s="8" t="s">
        <v>24</v>
      </c>
      <c r="C41" s="8" t="s">
        <v>25</v>
      </c>
    </row>
    <row r="42" spans="1:10" x14ac:dyDescent="0.3">
      <c r="A42" s="28" t="s">
        <v>26</v>
      </c>
      <c r="B42" s="28" t="s">
        <v>34</v>
      </c>
      <c r="C42" s="29">
        <v>0.93</v>
      </c>
    </row>
    <row r="43" spans="1:10" x14ac:dyDescent="0.3">
      <c r="A43" s="28" t="s">
        <v>28</v>
      </c>
      <c r="B43" s="28" t="s">
        <v>27</v>
      </c>
      <c r="C43" s="29">
        <v>1</v>
      </c>
    </row>
    <row r="44" spans="1:10" x14ac:dyDescent="0.3">
      <c r="A44" s="28" t="s">
        <v>29</v>
      </c>
      <c r="B44" s="28" t="s">
        <v>34</v>
      </c>
      <c r="C44" s="29">
        <v>0.85</v>
      </c>
    </row>
    <row r="45" spans="1:10" x14ac:dyDescent="0.3">
      <c r="A45" s="28" t="s">
        <v>31</v>
      </c>
      <c r="B45" s="28" t="s">
        <v>30</v>
      </c>
      <c r="C45" s="29">
        <v>1.07</v>
      </c>
    </row>
    <row r="46" spans="1:10" x14ac:dyDescent="0.3">
      <c r="A46" s="28" t="s">
        <v>32</v>
      </c>
      <c r="B46" s="28" t="s">
        <v>34</v>
      </c>
      <c r="C46" s="29">
        <v>0.87</v>
      </c>
    </row>
    <row r="47" spans="1:10" x14ac:dyDescent="0.3">
      <c r="A47" s="28" t="s">
        <v>33</v>
      </c>
      <c r="B47" s="28" t="s">
        <v>27</v>
      </c>
      <c r="C47" s="29">
        <v>1</v>
      </c>
      <c r="D47" s="30" t="s">
        <v>20</v>
      </c>
      <c r="J47" t="s">
        <v>8</v>
      </c>
    </row>
    <row r="48" spans="1:10" ht="15.6" x14ac:dyDescent="0.3">
      <c r="A48" s="31" t="s">
        <v>8</v>
      </c>
      <c r="B48" s="11"/>
      <c r="C48" s="11"/>
      <c r="D48" s="32">
        <f>PRODUCT(C42:C47)</f>
        <v>0.73587645000000002</v>
      </c>
    </row>
    <row r="52" spans="1:6" ht="15.6" x14ac:dyDescent="0.3">
      <c r="A52" s="45" t="s">
        <v>5</v>
      </c>
      <c r="B52" s="45"/>
      <c r="C52" s="45"/>
      <c r="D52" s="11"/>
    </row>
    <row r="53" spans="1:6" ht="15.6" x14ac:dyDescent="0.3">
      <c r="A53" s="8" t="s">
        <v>23</v>
      </c>
      <c r="B53" s="8" t="s">
        <v>24</v>
      </c>
      <c r="C53" s="8" t="s">
        <v>25</v>
      </c>
    </row>
    <row r="54" spans="1:6" x14ac:dyDescent="0.3">
      <c r="A54" s="28" t="s">
        <v>26</v>
      </c>
      <c r="B54" s="28" t="s">
        <v>34</v>
      </c>
      <c r="C54" s="29">
        <v>0.93</v>
      </c>
    </row>
    <row r="55" spans="1:6" x14ac:dyDescent="0.3">
      <c r="A55" s="28" t="s">
        <v>28</v>
      </c>
      <c r="B55" s="28" t="s">
        <v>27</v>
      </c>
      <c r="C55" s="29">
        <v>1</v>
      </c>
    </row>
    <row r="56" spans="1:6" x14ac:dyDescent="0.3">
      <c r="A56" s="28" t="s">
        <v>29</v>
      </c>
      <c r="B56" s="28" t="s">
        <v>34</v>
      </c>
      <c r="C56" s="29">
        <v>0.85</v>
      </c>
    </row>
    <row r="57" spans="1:6" x14ac:dyDescent="0.3">
      <c r="A57" s="28" t="s">
        <v>31</v>
      </c>
      <c r="B57" s="28" t="s">
        <v>27</v>
      </c>
      <c r="C57" s="29">
        <v>1</v>
      </c>
    </row>
    <row r="58" spans="1:6" x14ac:dyDescent="0.3">
      <c r="A58" s="28" t="s">
        <v>32</v>
      </c>
      <c r="B58" s="28" t="s">
        <v>30</v>
      </c>
      <c r="C58" s="29">
        <v>1.1499999999999999</v>
      </c>
    </row>
    <row r="59" spans="1:6" x14ac:dyDescent="0.3">
      <c r="A59" s="28" t="s">
        <v>33</v>
      </c>
      <c r="B59" s="28" t="s">
        <v>27</v>
      </c>
      <c r="C59" s="29">
        <v>1</v>
      </c>
      <c r="D59" s="30" t="s">
        <v>20</v>
      </c>
    </row>
    <row r="60" spans="1:6" ht="15.6" x14ac:dyDescent="0.3">
      <c r="A60" s="31" t="s">
        <v>8</v>
      </c>
      <c r="B60" s="11"/>
      <c r="C60" s="11"/>
      <c r="D60" s="32">
        <f>PRODUCT(C54:C59)</f>
        <v>0.90907499999999986</v>
      </c>
    </row>
    <row r="64" spans="1:6" x14ac:dyDescent="0.3">
      <c r="E64" s="23"/>
      <c r="F64" s="23"/>
    </row>
    <row r="65" spans="5:6" x14ac:dyDescent="0.3">
      <c r="E65" s="23"/>
      <c r="F65" s="23"/>
    </row>
    <row r="66" spans="5:6" x14ac:dyDescent="0.3">
      <c r="E66" s="33"/>
      <c r="F66" s="23"/>
    </row>
    <row r="67" spans="5:6" x14ac:dyDescent="0.3">
      <c r="E67" s="24"/>
    </row>
    <row r="68" spans="5:6" x14ac:dyDescent="0.3">
      <c r="E68" s="24"/>
    </row>
    <row r="69" spans="5:6" x14ac:dyDescent="0.3">
      <c r="E69" s="24"/>
    </row>
  </sheetData>
  <mergeCells count="10">
    <mergeCell ref="G28:J29"/>
    <mergeCell ref="G30:J31"/>
    <mergeCell ref="A40:C40"/>
    <mergeCell ref="G24:J25"/>
    <mergeCell ref="G26:J27"/>
    <mergeCell ref="A52:C52"/>
    <mergeCell ref="A3:A4"/>
    <mergeCell ref="B3:E3"/>
    <mergeCell ref="A18:C18"/>
    <mergeCell ref="A28:C28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A20" sqref="A20"/>
    </sheetView>
  </sheetViews>
  <sheetFormatPr defaultRowHeight="14.4" x14ac:dyDescent="0.3"/>
  <cols>
    <col min="1" max="1" width="74.5546875" customWidth="1"/>
    <col min="10" max="11" width="11.33203125" bestFit="1" customWidth="1"/>
    <col min="12" max="12" width="12.44140625" bestFit="1" customWidth="1"/>
  </cols>
  <sheetData>
    <row r="1" spans="1:14" x14ac:dyDescent="0.3">
      <c r="N1" t="s">
        <v>41</v>
      </c>
    </row>
    <row r="2" spans="1:14" ht="15" thickBot="1" x14ac:dyDescent="0.35">
      <c r="A2" s="9"/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N2" s="35">
        <f>J6/J7</f>
        <v>20.540123027302354</v>
      </c>
    </row>
    <row r="3" spans="1:14" ht="16.2" thickBot="1" x14ac:dyDescent="0.35">
      <c r="A3" s="9" t="s">
        <v>42</v>
      </c>
      <c r="B3" s="9"/>
      <c r="C3" s="9">
        <v>1</v>
      </c>
      <c r="D3" s="34">
        <v>0.25</v>
      </c>
      <c r="E3" s="9">
        <f>D3</f>
        <v>0.25</v>
      </c>
      <c r="F3" s="34">
        <v>1.95</v>
      </c>
      <c r="G3" s="9">
        <f t="shared" ref="G3:G6" si="0">PRODUCT(C3*E3*F3)</f>
        <v>0.48749999999999999</v>
      </c>
    </row>
    <row r="4" spans="1:14" ht="31.8" thickBot="1" x14ac:dyDescent="0.35">
      <c r="A4" s="8" t="s">
        <v>50</v>
      </c>
      <c r="B4" s="36">
        <v>0.28999999999999998</v>
      </c>
      <c r="C4" s="9">
        <v>1</v>
      </c>
      <c r="D4" s="36">
        <v>0.9</v>
      </c>
      <c r="E4" s="9">
        <f>D4*$N$2*(B4/C4)</f>
        <v>5.360972110125914</v>
      </c>
      <c r="F4" s="36">
        <v>1.4</v>
      </c>
      <c r="G4" s="9">
        <f t="shared" si="0"/>
        <v>7.5053609541762789</v>
      </c>
    </row>
    <row r="5" spans="1:14" ht="16.2" thickBot="1" x14ac:dyDescent="0.35">
      <c r="A5" s="8" t="s">
        <v>55</v>
      </c>
      <c r="B5" s="36">
        <v>0.57999999999999996</v>
      </c>
      <c r="C5" s="9">
        <v>1</v>
      </c>
      <c r="D5" s="36">
        <v>1</v>
      </c>
      <c r="E5" s="9">
        <f>D5*$N$2*(B5/C5)</f>
        <v>11.913271355835365</v>
      </c>
      <c r="F5" s="36">
        <v>0.9</v>
      </c>
      <c r="G5" s="9">
        <f t="shared" si="0"/>
        <v>10.721944220251828</v>
      </c>
    </row>
    <row r="6" spans="1:14" ht="16.2" thickBot="1" x14ac:dyDescent="0.35">
      <c r="A6" s="8" t="s">
        <v>56</v>
      </c>
      <c r="B6" s="36">
        <v>0.14499999999999999</v>
      </c>
      <c r="C6" s="9">
        <v>1</v>
      </c>
      <c r="D6" s="36">
        <v>0.8</v>
      </c>
      <c r="E6" s="9">
        <f>D6*$N$2*(B6/C6)</f>
        <v>2.3826542711670728</v>
      </c>
      <c r="F6" s="36">
        <v>0.75</v>
      </c>
      <c r="G6" s="9">
        <f t="shared" si="0"/>
        <v>1.7869907033753045</v>
      </c>
      <c r="I6" s="19" t="s">
        <v>43</v>
      </c>
      <c r="J6" s="52">
        <f>'общие трудозатраты'!L18</f>
        <v>41.080246054604707</v>
      </c>
    </row>
    <row r="7" spans="1:14" x14ac:dyDescent="0.3">
      <c r="A7" s="40" t="s">
        <v>57</v>
      </c>
      <c r="B7" s="9"/>
      <c r="C7" s="18">
        <f>SUM(C3:C6)</f>
        <v>4</v>
      </c>
      <c r="D7" s="9"/>
      <c r="E7" s="9"/>
      <c r="F7" s="9"/>
      <c r="G7" s="18">
        <f>SUM(G3:G6)/C7</f>
        <v>5.1254489694508534</v>
      </c>
      <c r="I7" s="19" t="s">
        <v>44</v>
      </c>
      <c r="J7" s="9">
        <v>2</v>
      </c>
    </row>
    <row r="8" spans="1:14" x14ac:dyDescent="0.3">
      <c r="I8" s="19" t="s">
        <v>45</v>
      </c>
      <c r="J8" s="9">
        <v>94500</v>
      </c>
    </row>
    <row r="9" spans="1:14" x14ac:dyDescent="0.3">
      <c r="I9" s="19" t="s">
        <v>46</v>
      </c>
      <c r="J9" s="9">
        <v>0.65</v>
      </c>
      <c r="N9" s="9" t="s">
        <v>47</v>
      </c>
    </row>
    <row r="10" spans="1:14" x14ac:dyDescent="0.3">
      <c r="I10" s="19" t="s">
        <v>48</v>
      </c>
      <c r="J10" s="37">
        <v>0.05</v>
      </c>
      <c r="L10" s="9" t="s">
        <v>49</v>
      </c>
      <c r="M10" s="38">
        <f>15%</f>
        <v>0.15</v>
      </c>
      <c r="N10" s="9">
        <f>$J$12*M10</f>
        <v>938903.3981423279</v>
      </c>
    </row>
    <row r="11" spans="1:14" x14ac:dyDescent="0.3">
      <c r="I11" s="19" t="s">
        <v>51</v>
      </c>
      <c r="J11" s="27">
        <f>(J8*(1+0.05))/J9</f>
        <v>152653.84615384616</v>
      </c>
      <c r="L11" s="9" t="s">
        <v>52</v>
      </c>
      <c r="M11" s="9">
        <f>65%</f>
        <v>0.65</v>
      </c>
      <c r="N11" s="9">
        <f>$J$12*M11</f>
        <v>4068581.3919500876</v>
      </c>
    </row>
    <row r="12" spans="1:14" x14ac:dyDescent="0.3">
      <c r="I12" s="19" t="s">
        <v>53</v>
      </c>
      <c r="J12" s="39">
        <f>J11*J7*C7*G7</f>
        <v>6259355.9876155192</v>
      </c>
      <c r="L12" s="9" t="s">
        <v>54</v>
      </c>
      <c r="M12" s="9">
        <f>20%</f>
        <v>0.2</v>
      </c>
      <c r="N12" s="9">
        <f>$J$12*M12</f>
        <v>1251871.1975231038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общие трудозатраты</vt:lpstr>
      <vt:lpstr>общая стоимость</vt:lpstr>
      <vt:lpstr>'общие трудозатраты'!_ftn1</vt:lpstr>
      <vt:lpstr>'общие трудозатраты'!_ftnref1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Альфия Мусина</dc:creator>
  <cp:lastModifiedBy>1647592</cp:lastModifiedBy>
  <cp:revision>1</cp:revision>
  <dcterms:created xsi:type="dcterms:W3CDTF">2015-06-05T18:19:34Z</dcterms:created>
  <dcterms:modified xsi:type="dcterms:W3CDTF">2026-03-18T23:35:10Z</dcterms:modified>
</cp:coreProperties>
</file>